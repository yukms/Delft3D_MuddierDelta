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Delft3D\"/>
    </mc:Choice>
  </mc:AlternateContent>
  <xr:revisionPtr revIDLastSave="0" documentId="13_ncr:1_{A8E095BB-B742-4441-AB8C-5475842CB2AF}" xr6:coauthVersionLast="47" xr6:coauthVersionMax="47" xr10:uidLastSave="{00000000-0000-0000-0000-000000000000}"/>
  <bookViews>
    <workbookView xWindow="8970" yWindow="960" windowWidth="40710" windowHeight="20175" xr2:uid="{E0F06039-2B5E-4A26-9AF5-EFDC8733D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3" i="1"/>
  <c r="J2" i="1"/>
  <c r="I19" i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23" i="1"/>
  <c r="I23" i="1" s="1"/>
  <c r="F19" i="1"/>
  <c r="F2" i="1"/>
  <c r="I2" i="1" s="1"/>
</calcChain>
</file>

<file path=xl/sharedStrings.xml><?xml version="1.0" encoding="utf-8"?>
<sst xmlns="http://schemas.openxmlformats.org/spreadsheetml/2006/main" count="29" uniqueCount="29">
  <si>
    <t>Dmm</t>
    <phoneticPr fontId="1" type="noConversion"/>
  </si>
  <si>
    <t>Qav m3s</t>
    <phoneticPr fontId="1" type="noConversion"/>
  </si>
  <si>
    <t>Qs kgs</t>
    <phoneticPr fontId="1" type="noConversion"/>
  </si>
  <si>
    <t>Qb kgs</t>
    <phoneticPr fontId="1" type="noConversion"/>
  </si>
  <si>
    <t>Fraser (Can)</t>
    <phoneticPr fontId="1" type="noConversion"/>
  </si>
  <si>
    <t>Ebro (Sapin) 1913-1962</t>
    <phoneticPr fontId="1" type="noConversion"/>
  </si>
  <si>
    <t>Copper (AL)</t>
    <phoneticPr fontId="1" type="noConversion"/>
  </si>
  <si>
    <t>Amazon (Brazil)</t>
    <phoneticPr fontId="1" type="noConversion"/>
  </si>
  <si>
    <t>Ganges-Brahma (Bng)</t>
    <phoneticPr fontId="1" type="noConversion"/>
  </si>
  <si>
    <t>A km2</t>
    <phoneticPr fontId="1" type="noConversion"/>
  </si>
  <si>
    <t>Homathko (can)</t>
    <phoneticPr fontId="1" type="noConversion"/>
  </si>
  <si>
    <t>Huanghe(PRC) 1921-1960</t>
    <phoneticPr fontId="1" type="noConversion"/>
  </si>
  <si>
    <t>Irrawaddy (Burma)</t>
    <phoneticPr fontId="1" type="noConversion"/>
  </si>
  <si>
    <t>Klinaklini (can)</t>
    <phoneticPr fontId="1" type="noConversion"/>
  </si>
  <si>
    <t>Mackenzie (can)</t>
    <phoneticPr fontId="1" type="noConversion"/>
  </si>
  <si>
    <t>Mekong (viet)</t>
    <phoneticPr fontId="1" type="noConversion"/>
  </si>
  <si>
    <t xml:space="preserve">Mississippi (LA) </t>
    <phoneticPr fontId="1" type="noConversion"/>
  </si>
  <si>
    <t>Niger (Nig)</t>
    <phoneticPr fontId="1" type="noConversion"/>
  </si>
  <si>
    <t>Nile (Egypt) 1871-1898</t>
    <phoneticPr fontId="1" type="noConversion"/>
  </si>
  <si>
    <t>Po (ita) 1933-1939</t>
    <phoneticPr fontId="1" type="noConversion"/>
  </si>
  <si>
    <t>Rhone (Fr)</t>
    <phoneticPr fontId="1" type="noConversion"/>
  </si>
  <si>
    <t>Squamish (Can)</t>
    <phoneticPr fontId="1" type="noConversion"/>
  </si>
  <si>
    <t>Waipaoa (NZ)</t>
    <phoneticPr fontId="1" type="noConversion"/>
  </si>
  <si>
    <t>Yangtze (China)</t>
    <phoneticPr fontId="1" type="noConversion"/>
  </si>
  <si>
    <t>Qsedi kgs</t>
    <phoneticPr fontId="1" type="noConversion"/>
  </si>
  <si>
    <t xml:space="preserve">settle vel </t>
    <phoneticPr fontId="1" type="noConversion"/>
  </si>
  <si>
    <t>mm/s</t>
    <phoneticPr fontId="1" type="noConversion"/>
  </si>
  <si>
    <t>nor Area</t>
    <phoneticPr fontId="1" type="noConversion"/>
  </si>
  <si>
    <t>bed/sus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</si>
</sst>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Sheet1!$G$2:$G$19</c:f>
              <c:numCache>
                <c:formatCode>General</c:formatCode>
                <c:ptCount val="18"/>
                <c:pt idx="0">
                  <c:v>467100</c:v>
                </c:pt>
                <c:pt idx="1">
                  <c:v>1920</c:v>
                </c:pt>
                <c:pt idx="2">
                  <c:v>338</c:v>
                </c:pt>
                <c:pt idx="3">
                  <c:v>1600</c:v>
                </c:pt>
                <c:pt idx="4">
                  <c:v>105641</c:v>
                </c:pt>
                <c:pt idx="5">
                  <c:v>15</c:v>
                </c:pt>
                <c:pt idx="6">
                  <c:v>5710</c:v>
                </c:pt>
                <c:pt idx="7">
                  <c:v>30570</c:v>
                </c:pt>
                <c:pt idx="8">
                  <c:v>16</c:v>
                </c:pt>
                <c:pt idx="9">
                  <c:v>13000</c:v>
                </c:pt>
                <c:pt idx="10">
                  <c:v>49000</c:v>
                </c:pt>
                <c:pt idx="11">
                  <c:v>38568</c:v>
                </c:pt>
                <c:pt idx="12">
                  <c:v>17135</c:v>
                </c:pt>
                <c:pt idx="13">
                  <c:v>24512</c:v>
                </c:pt>
                <c:pt idx="14">
                  <c:v>1050</c:v>
                </c:pt>
                <c:pt idx="15">
                  <c:v>1540</c:v>
                </c:pt>
                <c:pt idx="16">
                  <c:v>15</c:v>
                </c:pt>
                <c:pt idx="17">
                  <c:v>35000</c:v>
                </c:pt>
              </c:numCache>
            </c:numRef>
          </c:xVal>
          <c:yVal>
            <c:numRef>
              <c:f>Sheet1!$H$2:$H$19</c:f>
              <c:numCache>
                <c:formatCode>General</c:formatCode>
                <c:ptCount val="18"/>
                <c:pt idx="0">
                  <c:v>0.03</c:v>
                </c:pt>
                <c:pt idx="1">
                  <c:v>0.25</c:v>
                </c:pt>
                <c:pt idx="2">
                  <c:v>0.2</c:v>
                </c:pt>
                <c:pt idx="3">
                  <c:v>0.25</c:v>
                </c:pt>
                <c:pt idx="4">
                  <c:v>0.16</c:v>
                </c:pt>
                <c:pt idx="5">
                  <c:v>0.14000000000000001</c:v>
                </c:pt>
                <c:pt idx="6">
                  <c:v>0.06</c:v>
                </c:pt>
                <c:pt idx="7">
                  <c:v>0.05</c:v>
                </c:pt>
                <c:pt idx="8">
                  <c:v>0.3</c:v>
                </c:pt>
                <c:pt idx="9">
                  <c:v>0.2</c:v>
                </c:pt>
                <c:pt idx="10">
                  <c:v>0.1</c:v>
                </c:pt>
                <c:pt idx="11">
                  <c:v>0.01</c:v>
                </c:pt>
                <c:pt idx="12">
                  <c:v>0.15</c:v>
                </c:pt>
                <c:pt idx="13">
                  <c:v>0.03</c:v>
                </c:pt>
                <c:pt idx="14">
                  <c:v>0.4</c:v>
                </c:pt>
                <c:pt idx="15">
                  <c:v>0.2</c:v>
                </c:pt>
                <c:pt idx="16">
                  <c:v>0.3</c:v>
                </c:pt>
                <c:pt idx="17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2-4013-A53E-D50060BBA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662480"/>
        <c:axId val="341658640"/>
      </c:scatterChart>
      <c:valAx>
        <c:axId val="3416624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1658640"/>
        <c:crosses val="autoZero"/>
        <c:crossBetween val="midCat"/>
      </c:valAx>
      <c:valAx>
        <c:axId val="341658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166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Sheet1!$I$2:$I$19</c:f>
              <c:numCache>
                <c:formatCode>General</c:formatCode>
                <c:ptCount val="18"/>
                <c:pt idx="0">
                  <c:v>10942437.794129118</c:v>
                </c:pt>
                <c:pt idx="1">
                  <c:v>720199.83347210661</c:v>
                </c:pt>
                <c:pt idx="2">
                  <c:v>470692.42658423499</c:v>
                </c:pt>
                <c:pt idx="3">
                  <c:v>2086251.8089725038</c:v>
                </c:pt>
                <c:pt idx="4">
                  <c:v>2676749.6555021233</c:v>
                </c:pt>
                <c:pt idx="5">
                  <c:v>90100</c:v>
                </c:pt>
                <c:pt idx="6">
                  <c:v>147577.80901293713</c:v>
                </c:pt>
                <c:pt idx="7">
                  <c:v>3287999.2837531338</c:v>
                </c:pt>
                <c:pt idx="8">
                  <c:v>77924.32432432432</c:v>
                </c:pt>
                <c:pt idx="9">
                  <c:v>3578673.9993889397</c:v>
                </c:pt>
                <c:pt idx="10">
                  <c:v>13900818.63979849</c:v>
                </c:pt>
                <c:pt idx="11">
                  <c:v>2735771.3745866795</c:v>
                </c:pt>
                <c:pt idx="12">
                  <c:v>11236270.014556041</c:v>
                </c:pt>
                <c:pt idx="13">
                  <c:v>5697964.912280703</c:v>
                </c:pt>
                <c:pt idx="14">
                  <c:v>1686363.6363636365</c:v>
                </c:pt>
                <c:pt idx="15">
                  <c:v>727985.30954879336</c:v>
                </c:pt>
                <c:pt idx="16">
                  <c:v>207923.07692307691</c:v>
                </c:pt>
                <c:pt idx="17">
                  <c:v>2021344.7855906673</c:v>
                </c:pt>
              </c:numCache>
            </c:numRef>
          </c:xVal>
          <c:yVal>
            <c:numRef>
              <c:f>Sheet1!$H$2:$H$19</c:f>
              <c:numCache>
                <c:formatCode>General</c:formatCode>
                <c:ptCount val="18"/>
                <c:pt idx="0">
                  <c:v>0.03</c:v>
                </c:pt>
                <c:pt idx="1">
                  <c:v>0.25</c:v>
                </c:pt>
                <c:pt idx="2">
                  <c:v>0.2</c:v>
                </c:pt>
                <c:pt idx="3">
                  <c:v>0.25</c:v>
                </c:pt>
                <c:pt idx="4">
                  <c:v>0.16</c:v>
                </c:pt>
                <c:pt idx="5">
                  <c:v>0.14000000000000001</c:v>
                </c:pt>
                <c:pt idx="6">
                  <c:v>0.06</c:v>
                </c:pt>
                <c:pt idx="7">
                  <c:v>0.05</c:v>
                </c:pt>
                <c:pt idx="8">
                  <c:v>0.3</c:v>
                </c:pt>
                <c:pt idx="9">
                  <c:v>0.2</c:v>
                </c:pt>
                <c:pt idx="10">
                  <c:v>0.1</c:v>
                </c:pt>
                <c:pt idx="11">
                  <c:v>0.01</c:v>
                </c:pt>
                <c:pt idx="12">
                  <c:v>0.15</c:v>
                </c:pt>
                <c:pt idx="13">
                  <c:v>0.03</c:v>
                </c:pt>
                <c:pt idx="14">
                  <c:v>0.4</c:v>
                </c:pt>
                <c:pt idx="15">
                  <c:v>0.2</c:v>
                </c:pt>
                <c:pt idx="16">
                  <c:v>0.3</c:v>
                </c:pt>
                <c:pt idx="17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9A-4F33-A4C0-C0D57B018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068448"/>
        <c:axId val="552063648"/>
      </c:scatterChart>
      <c:valAx>
        <c:axId val="5520684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063648"/>
        <c:crosses val="autoZero"/>
        <c:crossBetween val="midCat"/>
      </c:valAx>
      <c:valAx>
        <c:axId val="552063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06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bubble is T*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Sheet1!$J$2:$J$19</c:f>
              <c:numCache>
                <c:formatCode>General</c:formatCode>
                <c:ptCount val="18"/>
                <c:pt idx="0">
                  <c:v>1.6330629178447797E-2</c:v>
                </c:pt>
                <c:pt idx="1">
                  <c:v>8.2957619477006306E-2</c:v>
                </c:pt>
                <c:pt idx="2">
                  <c:v>0.1232638888888889</c:v>
                </c:pt>
                <c:pt idx="3">
                  <c:v>8.9905362776025233E-2</c:v>
                </c:pt>
                <c:pt idx="4">
                  <c:v>1.9759105248064238E-2</c:v>
                </c:pt>
                <c:pt idx="5">
                  <c:v>0.10294117647058823</c:v>
                </c:pt>
                <c:pt idx="6">
                  <c:v>1.1475456866626503E-4</c:v>
                </c:pt>
                <c:pt idx="7">
                  <c:v>3.1777312476906024E-2</c:v>
                </c:pt>
                <c:pt idx="8">
                  <c:v>0.17088607594936708</c:v>
                </c:pt>
                <c:pt idx="9">
                  <c:v>3.8058991436726926E-2</c:v>
                </c:pt>
                <c:pt idx="10">
                  <c:v>2.7831715210355986E-2</c:v>
                </c:pt>
                <c:pt idx="11">
                  <c:v>6.9763754558427142E-3</c:v>
                </c:pt>
                <c:pt idx="12">
                  <c:v>8.3596214511041003E-2</c:v>
                </c:pt>
                <c:pt idx="13">
                  <c:v>0.02</c:v>
                </c:pt>
                <c:pt idx="14">
                  <c:v>2.9357798165137616E-2</c:v>
                </c:pt>
                <c:pt idx="15">
                  <c:v>2.418054809242343E-2</c:v>
                </c:pt>
                <c:pt idx="16">
                  <c:v>0.14035087719298245</c:v>
                </c:pt>
                <c:pt idx="17">
                  <c:v>2.5706771860618014E-2</c:v>
                </c:pt>
              </c:numCache>
            </c:numRef>
          </c:xVal>
          <c:yVal>
            <c:numRef>
              <c:f>Sheet1!$H$2:$H$19</c:f>
              <c:numCache>
                <c:formatCode>General</c:formatCode>
                <c:ptCount val="18"/>
                <c:pt idx="0">
                  <c:v>0.03</c:v>
                </c:pt>
                <c:pt idx="1">
                  <c:v>0.25</c:v>
                </c:pt>
                <c:pt idx="2">
                  <c:v>0.2</c:v>
                </c:pt>
                <c:pt idx="3">
                  <c:v>0.25</c:v>
                </c:pt>
                <c:pt idx="4">
                  <c:v>0.16</c:v>
                </c:pt>
                <c:pt idx="5">
                  <c:v>0.14000000000000001</c:v>
                </c:pt>
                <c:pt idx="6">
                  <c:v>0.06</c:v>
                </c:pt>
                <c:pt idx="7">
                  <c:v>0.05</c:v>
                </c:pt>
                <c:pt idx="8">
                  <c:v>0.3</c:v>
                </c:pt>
                <c:pt idx="9">
                  <c:v>0.2</c:v>
                </c:pt>
                <c:pt idx="10">
                  <c:v>0.1</c:v>
                </c:pt>
                <c:pt idx="11">
                  <c:v>0.01</c:v>
                </c:pt>
                <c:pt idx="12">
                  <c:v>0.15</c:v>
                </c:pt>
                <c:pt idx="13">
                  <c:v>0.03</c:v>
                </c:pt>
                <c:pt idx="14">
                  <c:v>0.4</c:v>
                </c:pt>
                <c:pt idx="15">
                  <c:v>0.2</c:v>
                </c:pt>
                <c:pt idx="16">
                  <c:v>0.3</c:v>
                </c:pt>
                <c:pt idx="17">
                  <c:v>0.05</c:v>
                </c:pt>
              </c:numCache>
            </c:numRef>
          </c:yVal>
          <c:bubbleSize>
            <c:numRef>
              <c:f>Sheet1!$I$2:$I$19</c:f>
              <c:numCache>
                <c:formatCode>General</c:formatCode>
                <c:ptCount val="18"/>
                <c:pt idx="0">
                  <c:v>10942437.794129118</c:v>
                </c:pt>
                <c:pt idx="1">
                  <c:v>720199.83347210661</c:v>
                </c:pt>
                <c:pt idx="2">
                  <c:v>470692.42658423499</c:v>
                </c:pt>
                <c:pt idx="3">
                  <c:v>2086251.8089725038</c:v>
                </c:pt>
                <c:pt idx="4">
                  <c:v>2676749.6555021233</c:v>
                </c:pt>
                <c:pt idx="5">
                  <c:v>90100</c:v>
                </c:pt>
                <c:pt idx="6">
                  <c:v>147577.80901293713</c:v>
                </c:pt>
                <c:pt idx="7">
                  <c:v>3287999.2837531338</c:v>
                </c:pt>
                <c:pt idx="8">
                  <c:v>77924.32432432432</c:v>
                </c:pt>
                <c:pt idx="9">
                  <c:v>3578673.9993889397</c:v>
                </c:pt>
                <c:pt idx="10">
                  <c:v>13900818.63979849</c:v>
                </c:pt>
                <c:pt idx="11">
                  <c:v>2735771.3745866795</c:v>
                </c:pt>
                <c:pt idx="12">
                  <c:v>11236270.014556041</c:v>
                </c:pt>
                <c:pt idx="13">
                  <c:v>5697964.912280703</c:v>
                </c:pt>
                <c:pt idx="14">
                  <c:v>1686363.6363636365</c:v>
                </c:pt>
                <c:pt idx="15">
                  <c:v>727985.30954879336</c:v>
                </c:pt>
                <c:pt idx="16">
                  <c:v>207923.07692307691</c:v>
                </c:pt>
                <c:pt idx="17">
                  <c:v>2021344.7855906673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366A-4BEC-B79B-94EF57E12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1124850767"/>
        <c:axId val="1124847887"/>
      </c:bubbleChart>
      <c:valAx>
        <c:axId val="11248507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bed/sus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4847887"/>
        <c:crosses val="autoZero"/>
        <c:crossBetween val="midCat"/>
      </c:valAx>
      <c:valAx>
        <c:axId val="11248478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topset grain size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485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bubble is bed/sus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Sheet1!$I$2:$I$19</c:f>
              <c:numCache>
                <c:formatCode>General</c:formatCode>
                <c:ptCount val="18"/>
                <c:pt idx="0">
                  <c:v>10942437.794129118</c:v>
                </c:pt>
                <c:pt idx="1">
                  <c:v>720199.83347210661</c:v>
                </c:pt>
                <c:pt idx="2">
                  <c:v>470692.42658423499</c:v>
                </c:pt>
                <c:pt idx="3">
                  <c:v>2086251.8089725038</c:v>
                </c:pt>
                <c:pt idx="4">
                  <c:v>2676749.6555021233</c:v>
                </c:pt>
                <c:pt idx="5">
                  <c:v>90100</c:v>
                </c:pt>
                <c:pt idx="6">
                  <c:v>147577.80901293713</c:v>
                </c:pt>
                <c:pt idx="7">
                  <c:v>3287999.2837531338</c:v>
                </c:pt>
                <c:pt idx="8">
                  <c:v>77924.32432432432</c:v>
                </c:pt>
                <c:pt idx="9">
                  <c:v>3578673.9993889397</c:v>
                </c:pt>
                <c:pt idx="10">
                  <c:v>13900818.63979849</c:v>
                </c:pt>
                <c:pt idx="11">
                  <c:v>2735771.3745866795</c:v>
                </c:pt>
                <c:pt idx="12">
                  <c:v>11236270.014556041</c:v>
                </c:pt>
                <c:pt idx="13">
                  <c:v>5697964.912280703</c:v>
                </c:pt>
                <c:pt idx="14">
                  <c:v>1686363.6363636365</c:v>
                </c:pt>
                <c:pt idx="15">
                  <c:v>727985.30954879336</c:v>
                </c:pt>
                <c:pt idx="16">
                  <c:v>207923.07692307691</c:v>
                </c:pt>
                <c:pt idx="17">
                  <c:v>2021344.7855906673</c:v>
                </c:pt>
              </c:numCache>
            </c:numRef>
          </c:xVal>
          <c:yVal>
            <c:numRef>
              <c:f>Sheet1!$H$2:$H$19</c:f>
              <c:numCache>
                <c:formatCode>General</c:formatCode>
                <c:ptCount val="18"/>
                <c:pt idx="0">
                  <c:v>0.03</c:v>
                </c:pt>
                <c:pt idx="1">
                  <c:v>0.25</c:v>
                </c:pt>
                <c:pt idx="2">
                  <c:v>0.2</c:v>
                </c:pt>
                <c:pt idx="3">
                  <c:v>0.25</c:v>
                </c:pt>
                <c:pt idx="4">
                  <c:v>0.16</c:v>
                </c:pt>
                <c:pt idx="5">
                  <c:v>0.14000000000000001</c:v>
                </c:pt>
                <c:pt idx="6">
                  <c:v>0.06</c:v>
                </c:pt>
                <c:pt idx="7">
                  <c:v>0.05</c:v>
                </c:pt>
                <c:pt idx="8">
                  <c:v>0.3</c:v>
                </c:pt>
                <c:pt idx="9">
                  <c:v>0.2</c:v>
                </c:pt>
                <c:pt idx="10">
                  <c:v>0.1</c:v>
                </c:pt>
                <c:pt idx="11">
                  <c:v>0.01</c:v>
                </c:pt>
                <c:pt idx="12">
                  <c:v>0.15</c:v>
                </c:pt>
                <c:pt idx="13">
                  <c:v>0.03</c:v>
                </c:pt>
                <c:pt idx="14">
                  <c:v>0.4</c:v>
                </c:pt>
                <c:pt idx="15">
                  <c:v>0.2</c:v>
                </c:pt>
                <c:pt idx="16">
                  <c:v>0.3</c:v>
                </c:pt>
                <c:pt idx="17">
                  <c:v>0.05</c:v>
                </c:pt>
              </c:numCache>
            </c:numRef>
          </c:yVal>
          <c:bubbleSize>
            <c:numRef>
              <c:f>Sheet1!$J$2:$J$19</c:f>
              <c:numCache>
                <c:formatCode>General</c:formatCode>
                <c:ptCount val="18"/>
                <c:pt idx="0">
                  <c:v>1.6330629178447797E-2</c:v>
                </c:pt>
                <c:pt idx="1">
                  <c:v>8.2957619477006306E-2</c:v>
                </c:pt>
                <c:pt idx="2">
                  <c:v>0.1232638888888889</c:v>
                </c:pt>
                <c:pt idx="3">
                  <c:v>8.9905362776025233E-2</c:v>
                </c:pt>
                <c:pt idx="4">
                  <c:v>1.9759105248064238E-2</c:v>
                </c:pt>
                <c:pt idx="5">
                  <c:v>0.10294117647058823</c:v>
                </c:pt>
                <c:pt idx="6">
                  <c:v>1.1475456866626503E-4</c:v>
                </c:pt>
                <c:pt idx="7">
                  <c:v>3.1777312476906024E-2</c:v>
                </c:pt>
                <c:pt idx="8">
                  <c:v>0.17088607594936708</c:v>
                </c:pt>
                <c:pt idx="9">
                  <c:v>3.8058991436726926E-2</c:v>
                </c:pt>
                <c:pt idx="10">
                  <c:v>2.7831715210355986E-2</c:v>
                </c:pt>
                <c:pt idx="11">
                  <c:v>6.9763754558427142E-3</c:v>
                </c:pt>
                <c:pt idx="12">
                  <c:v>8.3596214511041003E-2</c:v>
                </c:pt>
                <c:pt idx="13">
                  <c:v>0.02</c:v>
                </c:pt>
                <c:pt idx="14">
                  <c:v>2.9357798165137616E-2</c:v>
                </c:pt>
                <c:pt idx="15">
                  <c:v>2.418054809242343E-2</c:v>
                </c:pt>
                <c:pt idx="16">
                  <c:v>0.14035087719298245</c:v>
                </c:pt>
                <c:pt idx="17">
                  <c:v>2.5706771860618014E-2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9-33E2-48B9-8F55-4163A8CBF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5"/>
        <c:showNegBubbles val="0"/>
        <c:axId val="980359535"/>
        <c:axId val="980361935"/>
      </c:bubbleChart>
      <c:valAx>
        <c:axId val="98035953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T*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0361935"/>
        <c:crosses val="autoZero"/>
        <c:crossBetween val="midCat"/>
      </c:valAx>
      <c:valAx>
        <c:axId val="9803619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Grain size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0359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bubble is DeltaAra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Sheet1!$J$2:$J$19</c:f>
              <c:numCache>
                <c:formatCode>General</c:formatCode>
                <c:ptCount val="18"/>
                <c:pt idx="0">
                  <c:v>1.6330629178447797E-2</c:v>
                </c:pt>
                <c:pt idx="1">
                  <c:v>8.2957619477006306E-2</c:v>
                </c:pt>
                <c:pt idx="2">
                  <c:v>0.1232638888888889</c:v>
                </c:pt>
                <c:pt idx="3">
                  <c:v>8.9905362776025233E-2</c:v>
                </c:pt>
                <c:pt idx="4">
                  <c:v>1.9759105248064238E-2</c:v>
                </c:pt>
                <c:pt idx="5">
                  <c:v>0.10294117647058823</c:v>
                </c:pt>
                <c:pt idx="6">
                  <c:v>1.1475456866626503E-4</c:v>
                </c:pt>
                <c:pt idx="7">
                  <c:v>3.1777312476906024E-2</c:v>
                </c:pt>
                <c:pt idx="8">
                  <c:v>0.17088607594936708</c:v>
                </c:pt>
                <c:pt idx="9">
                  <c:v>3.8058991436726926E-2</c:v>
                </c:pt>
                <c:pt idx="10">
                  <c:v>2.7831715210355986E-2</c:v>
                </c:pt>
                <c:pt idx="11">
                  <c:v>6.9763754558427142E-3</c:v>
                </c:pt>
                <c:pt idx="12">
                  <c:v>8.3596214511041003E-2</c:v>
                </c:pt>
                <c:pt idx="13">
                  <c:v>0.02</c:v>
                </c:pt>
                <c:pt idx="14">
                  <c:v>2.9357798165137616E-2</c:v>
                </c:pt>
                <c:pt idx="15">
                  <c:v>2.418054809242343E-2</c:v>
                </c:pt>
                <c:pt idx="16">
                  <c:v>0.14035087719298245</c:v>
                </c:pt>
                <c:pt idx="17">
                  <c:v>2.5706771860618014E-2</c:v>
                </c:pt>
              </c:numCache>
            </c:numRef>
          </c:xVal>
          <c:yVal>
            <c:numRef>
              <c:f>Sheet1!$H$2:$H$19</c:f>
              <c:numCache>
                <c:formatCode>General</c:formatCode>
                <c:ptCount val="18"/>
                <c:pt idx="0">
                  <c:v>0.03</c:v>
                </c:pt>
                <c:pt idx="1">
                  <c:v>0.25</c:v>
                </c:pt>
                <c:pt idx="2">
                  <c:v>0.2</c:v>
                </c:pt>
                <c:pt idx="3">
                  <c:v>0.25</c:v>
                </c:pt>
                <c:pt idx="4">
                  <c:v>0.16</c:v>
                </c:pt>
                <c:pt idx="5">
                  <c:v>0.14000000000000001</c:v>
                </c:pt>
                <c:pt idx="6">
                  <c:v>0.06</c:v>
                </c:pt>
                <c:pt idx="7">
                  <c:v>0.05</c:v>
                </c:pt>
                <c:pt idx="8">
                  <c:v>0.3</c:v>
                </c:pt>
                <c:pt idx="9">
                  <c:v>0.2</c:v>
                </c:pt>
                <c:pt idx="10">
                  <c:v>0.1</c:v>
                </c:pt>
                <c:pt idx="11">
                  <c:v>0.01</c:v>
                </c:pt>
                <c:pt idx="12">
                  <c:v>0.15</c:v>
                </c:pt>
                <c:pt idx="13">
                  <c:v>0.03</c:v>
                </c:pt>
                <c:pt idx="14">
                  <c:v>0.4</c:v>
                </c:pt>
                <c:pt idx="15">
                  <c:v>0.2</c:v>
                </c:pt>
                <c:pt idx="16">
                  <c:v>0.3</c:v>
                </c:pt>
                <c:pt idx="17">
                  <c:v>0.05</c:v>
                </c:pt>
              </c:numCache>
            </c:numRef>
          </c:yVal>
          <c:bubbleSize>
            <c:numRef>
              <c:f>Sheet1!$G$2:$G$19</c:f>
              <c:numCache>
                <c:formatCode>General</c:formatCode>
                <c:ptCount val="18"/>
                <c:pt idx="0">
                  <c:v>467100</c:v>
                </c:pt>
                <c:pt idx="1">
                  <c:v>1920</c:v>
                </c:pt>
                <c:pt idx="2">
                  <c:v>338</c:v>
                </c:pt>
                <c:pt idx="3">
                  <c:v>1600</c:v>
                </c:pt>
                <c:pt idx="4">
                  <c:v>105641</c:v>
                </c:pt>
                <c:pt idx="5">
                  <c:v>15</c:v>
                </c:pt>
                <c:pt idx="6">
                  <c:v>5710</c:v>
                </c:pt>
                <c:pt idx="7">
                  <c:v>30570</c:v>
                </c:pt>
                <c:pt idx="8">
                  <c:v>16</c:v>
                </c:pt>
                <c:pt idx="9">
                  <c:v>13000</c:v>
                </c:pt>
                <c:pt idx="10">
                  <c:v>49000</c:v>
                </c:pt>
                <c:pt idx="11">
                  <c:v>38568</c:v>
                </c:pt>
                <c:pt idx="12">
                  <c:v>17135</c:v>
                </c:pt>
                <c:pt idx="13">
                  <c:v>24512</c:v>
                </c:pt>
                <c:pt idx="14">
                  <c:v>1050</c:v>
                </c:pt>
                <c:pt idx="15">
                  <c:v>1540</c:v>
                </c:pt>
                <c:pt idx="16">
                  <c:v>15</c:v>
                </c:pt>
                <c:pt idx="17">
                  <c:v>35000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6AB-4358-99BE-9BA16D91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60"/>
        <c:showNegBubbles val="0"/>
        <c:axId val="1124850767"/>
        <c:axId val="1124847887"/>
      </c:bubbleChart>
      <c:valAx>
        <c:axId val="112485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bed/sus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4847887"/>
        <c:crosses val="autoZero"/>
        <c:crossBetween val="midCat"/>
      </c:valAx>
      <c:valAx>
        <c:axId val="11248478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topset grain size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485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Sheet1!$H$2:$H$19</c:f>
              <c:numCache>
                <c:formatCode>General</c:formatCode>
                <c:ptCount val="18"/>
                <c:pt idx="0">
                  <c:v>0.03</c:v>
                </c:pt>
                <c:pt idx="1">
                  <c:v>0.25</c:v>
                </c:pt>
                <c:pt idx="2">
                  <c:v>0.2</c:v>
                </c:pt>
                <c:pt idx="3">
                  <c:v>0.25</c:v>
                </c:pt>
                <c:pt idx="4">
                  <c:v>0.16</c:v>
                </c:pt>
                <c:pt idx="5">
                  <c:v>0.14000000000000001</c:v>
                </c:pt>
                <c:pt idx="6">
                  <c:v>0.06</c:v>
                </c:pt>
                <c:pt idx="7">
                  <c:v>0.05</c:v>
                </c:pt>
                <c:pt idx="8">
                  <c:v>0.3</c:v>
                </c:pt>
                <c:pt idx="9">
                  <c:v>0.2</c:v>
                </c:pt>
                <c:pt idx="10">
                  <c:v>0.1</c:v>
                </c:pt>
                <c:pt idx="11">
                  <c:v>0.01</c:v>
                </c:pt>
                <c:pt idx="12">
                  <c:v>0.15</c:v>
                </c:pt>
                <c:pt idx="13">
                  <c:v>0.03</c:v>
                </c:pt>
                <c:pt idx="14">
                  <c:v>0.4</c:v>
                </c:pt>
                <c:pt idx="15">
                  <c:v>0.2</c:v>
                </c:pt>
                <c:pt idx="16">
                  <c:v>0.3</c:v>
                </c:pt>
                <c:pt idx="17">
                  <c:v>0.05</c:v>
                </c:pt>
              </c:numCache>
            </c:numRef>
          </c:xVal>
          <c:yVal>
            <c:numRef>
              <c:f>Sheet1!$J$2:$J$19</c:f>
              <c:numCache>
                <c:formatCode>General</c:formatCode>
                <c:ptCount val="18"/>
                <c:pt idx="0">
                  <c:v>1.6330629178447797E-2</c:v>
                </c:pt>
                <c:pt idx="1">
                  <c:v>8.2957619477006306E-2</c:v>
                </c:pt>
                <c:pt idx="2">
                  <c:v>0.1232638888888889</c:v>
                </c:pt>
                <c:pt idx="3">
                  <c:v>8.9905362776025233E-2</c:v>
                </c:pt>
                <c:pt idx="4">
                  <c:v>1.9759105248064238E-2</c:v>
                </c:pt>
                <c:pt idx="5">
                  <c:v>0.10294117647058823</c:v>
                </c:pt>
                <c:pt idx="6">
                  <c:v>1.1475456866626503E-4</c:v>
                </c:pt>
                <c:pt idx="7">
                  <c:v>3.1777312476906024E-2</c:v>
                </c:pt>
                <c:pt idx="8">
                  <c:v>0.17088607594936708</c:v>
                </c:pt>
                <c:pt idx="9">
                  <c:v>3.8058991436726926E-2</c:v>
                </c:pt>
                <c:pt idx="10">
                  <c:v>2.7831715210355986E-2</c:v>
                </c:pt>
                <c:pt idx="11">
                  <c:v>6.9763754558427142E-3</c:v>
                </c:pt>
                <c:pt idx="12">
                  <c:v>8.3596214511041003E-2</c:v>
                </c:pt>
                <c:pt idx="13">
                  <c:v>0.02</c:v>
                </c:pt>
                <c:pt idx="14">
                  <c:v>2.9357798165137616E-2</c:v>
                </c:pt>
                <c:pt idx="15">
                  <c:v>2.418054809242343E-2</c:v>
                </c:pt>
                <c:pt idx="16">
                  <c:v>0.14035087719298245</c:v>
                </c:pt>
                <c:pt idx="17">
                  <c:v>2.5706771860618014E-2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5-4D00-9184-05CFF4ED7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697712"/>
        <c:axId val="1794701072"/>
      </c:scatterChart>
      <c:valAx>
        <c:axId val="179469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4701072"/>
        <c:crosses val="autoZero"/>
        <c:crossBetween val="midCat"/>
      </c:valAx>
      <c:valAx>
        <c:axId val="17947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469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271461</xdr:colOff>
      <xdr:row>25</xdr:row>
      <xdr:rowOff>190500</xdr:rowOff>
    </xdr:from>
    <xdr:to>
      <xdr:col>9</xdr:col>
      <xdr:colOff>295274</xdr:colOff>
      <xdr:row>51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03452AD-C73A-24AE-92A2-4D96667B2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657225</xdr:colOff>
      <xdr:row>25</xdr:row>
      <xdr:rowOff>152400</xdr:rowOff>
    </xdr:from>
    <xdr:to>
      <xdr:col>18</xdr:col>
      <xdr:colOff>633412</xdr:colOff>
      <xdr:row>49</xdr:row>
      <xdr:rowOff>138112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972F828-B425-B080-77B6-715131D3E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604836</xdr:colOff>
      <xdr:row>3</xdr:row>
      <xdr:rowOff>133350</xdr:rowOff>
    </xdr:from>
    <xdr:to>
      <xdr:col>36</xdr:col>
      <xdr:colOff>85725</xdr:colOff>
      <xdr:row>27</xdr:row>
      <xdr:rowOff>28575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AA6BB3-768F-AFA9-1941-5E1E0FCFF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176211</xdr:colOff>
      <xdr:row>26</xdr:row>
      <xdr:rowOff>200025</xdr:rowOff>
    </xdr:from>
    <xdr:to>
      <xdr:col>36</xdr:col>
      <xdr:colOff>533400</xdr:colOff>
      <xdr:row>58</xdr:row>
      <xdr:rowOff>180975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303BF70C-0B4B-BC23-4E58-F4665DA20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485775</xdr:colOff>
      <xdr:row>3</xdr:row>
      <xdr:rowOff>0</xdr:rowOff>
    </xdr:from>
    <xdr:to>
      <xdr:col>48</xdr:col>
      <xdr:colOff>652464</xdr:colOff>
      <xdr:row>26</xdr:row>
      <xdr:rowOff>104775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6D6676C7-885E-444F-8F3D-E0265AEDE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623887</xdr:colOff>
      <xdr:row>10</xdr:row>
      <xdr:rowOff>142875</xdr:rowOff>
    </xdr:from>
    <xdr:to>
      <xdr:col>23</xdr:col>
      <xdr:colOff>395287</xdr:colOff>
      <xdr:row>23</xdr:row>
      <xdr:rowOff>161925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FC954B9-FA62-75FE-D039-485DA4D57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3657-986A-48C6-8CF2-A3ECF2A56D84}">
  <dimension ref="A1:N23"/>
  <sheetViews>
    <sheetView tabSelected="1" workbookViewId="0">
      <selection activeCell="G3" activeCellId="1" sqref="G5 G3"/>
    </sheetView>
  </sheetViews>
  <sheetFormatPr defaultRowHeight="16.5" x14ac:dyDescent="0.3"/>
  <cols>
    <col min="9" max="9" width="11.625" bestFit="1" customWidth="1"/>
  </cols>
  <sheetData>
    <row r="1" spans="1:14" x14ac:dyDescent="0.3">
      <c r="C1" t="s">
        <v>1</v>
      </c>
      <c r="D1" t="s">
        <v>2</v>
      </c>
      <c r="E1" t="s">
        <v>3</v>
      </c>
      <c r="F1" t="s">
        <v>24</v>
      </c>
      <c r="G1" t="s">
        <v>9</v>
      </c>
      <c r="H1" t="s">
        <v>0</v>
      </c>
      <c r="I1" t="s">
        <v>27</v>
      </c>
      <c r="J1" t="s">
        <v>28</v>
      </c>
      <c r="L1" t="s">
        <v>25</v>
      </c>
      <c r="M1">
        <v>0.34</v>
      </c>
      <c r="N1" t="s">
        <v>26</v>
      </c>
    </row>
    <row r="2" spans="1:14" x14ac:dyDescent="0.3">
      <c r="A2" t="s">
        <v>7</v>
      </c>
      <c r="C2">
        <v>198676</v>
      </c>
      <c r="D2">
        <v>37843</v>
      </c>
      <c r="E2">
        <v>618</v>
      </c>
      <c r="F2">
        <f>D2+E2</f>
        <v>38461</v>
      </c>
      <c r="G2">
        <v>467100</v>
      </c>
      <c r="H2">
        <v>0.03</v>
      </c>
      <c r="I2">
        <f>G2*1000000*0.00034/(F2/2650)</f>
        <v>10942437.794129118</v>
      </c>
      <c r="J2">
        <f t="shared" ref="J2:J18" si="0">E2/D2</f>
        <v>1.6330629178447797E-2</v>
      </c>
    </row>
    <row r="3" spans="1:14" x14ac:dyDescent="0.3">
      <c r="A3" t="s">
        <v>6</v>
      </c>
      <c r="C3">
        <v>1240</v>
      </c>
      <c r="D3">
        <v>2218</v>
      </c>
      <c r="E3">
        <v>184</v>
      </c>
      <c r="F3">
        <f t="shared" ref="F3:F18" si="1">D3+E3</f>
        <v>2402</v>
      </c>
      <c r="G3">
        <v>1920</v>
      </c>
      <c r="H3">
        <v>0.25</v>
      </c>
      <c r="I3">
        <f t="shared" ref="I3:I18" si="2">G3*1000000*0.00034/(F3/2650)</f>
        <v>720199.83347210661</v>
      </c>
      <c r="J3">
        <f t="shared" si="0"/>
        <v>8.2957619477006306E-2</v>
      </c>
    </row>
    <row r="4" spans="1:14" x14ac:dyDescent="0.3">
      <c r="A4" t="s">
        <v>5</v>
      </c>
      <c r="C4">
        <v>1400</v>
      </c>
      <c r="D4">
        <v>576</v>
      </c>
      <c r="E4">
        <v>71</v>
      </c>
      <c r="F4">
        <f t="shared" si="1"/>
        <v>647</v>
      </c>
      <c r="G4">
        <v>338</v>
      </c>
      <c r="H4">
        <v>0.2</v>
      </c>
      <c r="I4">
        <f t="shared" si="2"/>
        <v>470692.42658423499</v>
      </c>
      <c r="J4">
        <f t="shared" si="0"/>
        <v>0.1232638888888889</v>
      </c>
    </row>
    <row r="5" spans="1:14" x14ac:dyDescent="0.3">
      <c r="A5" t="s">
        <v>4</v>
      </c>
      <c r="C5">
        <v>3560</v>
      </c>
      <c r="D5">
        <v>634</v>
      </c>
      <c r="E5">
        <v>57</v>
      </c>
      <c r="F5">
        <f t="shared" si="1"/>
        <v>691</v>
      </c>
      <c r="G5">
        <v>1600</v>
      </c>
      <c r="H5">
        <v>0.25</v>
      </c>
      <c r="I5">
        <f t="shared" si="2"/>
        <v>2086251.8089725038</v>
      </c>
      <c r="J5">
        <f t="shared" si="0"/>
        <v>8.9905362776025233E-2</v>
      </c>
    </row>
    <row r="6" spans="1:14" x14ac:dyDescent="0.3">
      <c r="A6" t="s">
        <v>8</v>
      </c>
      <c r="C6">
        <v>31000</v>
      </c>
      <c r="D6">
        <v>34870</v>
      </c>
      <c r="E6">
        <v>689</v>
      </c>
      <c r="F6">
        <f t="shared" si="1"/>
        <v>35559</v>
      </c>
      <c r="G6">
        <v>105641</v>
      </c>
      <c r="H6">
        <v>0.16</v>
      </c>
      <c r="I6">
        <f t="shared" si="2"/>
        <v>2676749.6555021233</v>
      </c>
      <c r="J6">
        <f t="shared" si="0"/>
        <v>1.9759105248064238E-2</v>
      </c>
    </row>
    <row r="7" spans="1:14" x14ac:dyDescent="0.3">
      <c r="A7" t="s">
        <v>10</v>
      </c>
      <c r="C7">
        <v>253</v>
      </c>
      <c r="D7">
        <v>136</v>
      </c>
      <c r="E7">
        <v>14</v>
      </c>
      <c r="F7">
        <f t="shared" si="1"/>
        <v>150</v>
      </c>
      <c r="G7">
        <v>15</v>
      </c>
      <c r="H7">
        <v>0.14000000000000001</v>
      </c>
      <c r="I7">
        <f t="shared" si="2"/>
        <v>90100</v>
      </c>
      <c r="J7">
        <f t="shared" si="0"/>
        <v>0.10294117647058823</v>
      </c>
    </row>
    <row r="8" spans="1:14" x14ac:dyDescent="0.3">
      <c r="A8" t="s">
        <v>11</v>
      </c>
      <c r="C8">
        <v>1480</v>
      </c>
      <c r="D8">
        <v>34857</v>
      </c>
      <c r="E8">
        <v>4</v>
      </c>
      <c r="F8">
        <f t="shared" si="1"/>
        <v>34861</v>
      </c>
      <c r="G8">
        <v>5710</v>
      </c>
      <c r="H8">
        <v>0.06</v>
      </c>
      <c r="I8">
        <f t="shared" si="2"/>
        <v>147577.80901293713</v>
      </c>
      <c r="J8">
        <f t="shared" si="0"/>
        <v>1.1475456866626503E-4</v>
      </c>
    </row>
    <row r="9" spans="1:14" x14ac:dyDescent="0.3">
      <c r="A9" t="s">
        <v>12</v>
      </c>
      <c r="C9">
        <v>13558</v>
      </c>
      <c r="D9">
        <v>8119</v>
      </c>
      <c r="E9">
        <v>258</v>
      </c>
      <c r="F9">
        <f t="shared" si="1"/>
        <v>8377</v>
      </c>
      <c r="G9">
        <v>30570</v>
      </c>
      <c r="H9">
        <v>0.05</v>
      </c>
      <c r="I9">
        <f t="shared" si="2"/>
        <v>3287999.2837531338</v>
      </c>
      <c r="J9">
        <f t="shared" si="0"/>
        <v>3.1777312476906024E-2</v>
      </c>
    </row>
    <row r="10" spans="1:14" x14ac:dyDescent="0.3">
      <c r="A10" t="s">
        <v>13</v>
      </c>
      <c r="C10">
        <v>330</v>
      </c>
      <c r="D10">
        <v>158</v>
      </c>
      <c r="E10">
        <v>27</v>
      </c>
      <c r="F10">
        <f t="shared" si="1"/>
        <v>185</v>
      </c>
      <c r="G10">
        <v>16</v>
      </c>
      <c r="H10">
        <v>0.3</v>
      </c>
      <c r="I10">
        <f t="shared" si="2"/>
        <v>77924.32432432432</v>
      </c>
      <c r="J10">
        <f t="shared" si="0"/>
        <v>0.17088607594936708</v>
      </c>
    </row>
    <row r="11" spans="1:14" x14ac:dyDescent="0.3">
      <c r="A11" t="s">
        <v>14</v>
      </c>
      <c r="C11">
        <v>9750</v>
      </c>
      <c r="D11">
        <v>3153</v>
      </c>
      <c r="E11">
        <v>120</v>
      </c>
      <c r="F11">
        <f t="shared" si="1"/>
        <v>3273</v>
      </c>
      <c r="G11">
        <v>13000</v>
      </c>
      <c r="H11">
        <v>0.2</v>
      </c>
      <c r="I11">
        <f t="shared" si="2"/>
        <v>3578673.9993889397</v>
      </c>
      <c r="J11">
        <f t="shared" si="0"/>
        <v>3.8058991436726926E-2</v>
      </c>
    </row>
    <row r="12" spans="1:14" x14ac:dyDescent="0.3">
      <c r="A12" t="s">
        <v>15</v>
      </c>
      <c r="C12">
        <v>17345</v>
      </c>
      <c r="D12">
        <v>3090</v>
      </c>
      <c r="E12">
        <v>86</v>
      </c>
      <c r="F12">
        <f t="shared" si="1"/>
        <v>3176</v>
      </c>
      <c r="G12">
        <v>49000</v>
      </c>
      <c r="H12">
        <v>0.1</v>
      </c>
      <c r="I12">
        <f t="shared" si="2"/>
        <v>13900818.63979849</v>
      </c>
      <c r="J12">
        <f t="shared" si="0"/>
        <v>2.7831715210355986E-2</v>
      </c>
    </row>
    <row r="13" spans="1:14" x14ac:dyDescent="0.3">
      <c r="A13" t="s">
        <v>16</v>
      </c>
      <c r="C13">
        <v>15452</v>
      </c>
      <c r="D13">
        <v>12614</v>
      </c>
      <c r="E13">
        <v>88</v>
      </c>
      <c r="F13">
        <f t="shared" si="1"/>
        <v>12702</v>
      </c>
      <c r="G13">
        <v>38568</v>
      </c>
      <c r="H13">
        <v>0.01</v>
      </c>
      <c r="I13">
        <f t="shared" si="2"/>
        <v>2735771.3745866795</v>
      </c>
      <c r="J13">
        <f t="shared" si="0"/>
        <v>6.9763754558427142E-3</v>
      </c>
    </row>
    <row r="14" spans="1:14" x14ac:dyDescent="0.3">
      <c r="A14" t="s">
        <v>17</v>
      </c>
      <c r="C14">
        <v>6130</v>
      </c>
      <c r="D14">
        <v>1268</v>
      </c>
      <c r="E14">
        <v>106</v>
      </c>
      <c r="F14">
        <f t="shared" si="1"/>
        <v>1374</v>
      </c>
      <c r="G14">
        <v>17135</v>
      </c>
      <c r="H14">
        <v>0.15</v>
      </c>
      <c r="I14">
        <f t="shared" si="2"/>
        <v>11236270.014556041</v>
      </c>
      <c r="J14">
        <f t="shared" si="0"/>
        <v>8.3596214511041003E-2</v>
      </c>
    </row>
    <row r="15" spans="1:14" x14ac:dyDescent="0.3">
      <c r="A15" t="s">
        <v>18</v>
      </c>
      <c r="C15">
        <v>3484</v>
      </c>
      <c r="D15">
        <v>3800</v>
      </c>
      <c r="E15">
        <v>76</v>
      </c>
      <c r="F15">
        <f t="shared" si="1"/>
        <v>3876</v>
      </c>
      <c r="G15">
        <v>24512</v>
      </c>
      <c r="H15">
        <v>0.03</v>
      </c>
      <c r="I15">
        <f t="shared" si="2"/>
        <v>5697964.912280703</v>
      </c>
      <c r="J15">
        <f t="shared" si="0"/>
        <v>0.02</v>
      </c>
    </row>
    <row r="16" spans="1:14" x14ac:dyDescent="0.3">
      <c r="A16" t="s">
        <v>19</v>
      </c>
      <c r="C16">
        <v>1525</v>
      </c>
      <c r="D16">
        <v>545</v>
      </c>
      <c r="E16">
        <v>16</v>
      </c>
      <c r="F16">
        <f t="shared" si="1"/>
        <v>561</v>
      </c>
      <c r="G16">
        <v>1050</v>
      </c>
      <c r="H16">
        <v>0.4</v>
      </c>
      <c r="I16">
        <f t="shared" si="2"/>
        <v>1686363.6363636365</v>
      </c>
      <c r="J16">
        <f t="shared" si="0"/>
        <v>2.9357798165137616E-2</v>
      </c>
    </row>
    <row r="17" spans="1:10" x14ac:dyDescent="0.3">
      <c r="A17" t="s">
        <v>20</v>
      </c>
      <c r="C17">
        <v>1700</v>
      </c>
      <c r="D17">
        <v>1861</v>
      </c>
      <c r="E17">
        <v>45</v>
      </c>
      <c r="F17">
        <f t="shared" si="1"/>
        <v>1906</v>
      </c>
      <c r="G17">
        <v>1540</v>
      </c>
      <c r="H17">
        <v>0.2</v>
      </c>
      <c r="I17">
        <f t="shared" si="2"/>
        <v>727985.30954879336</v>
      </c>
      <c r="J17">
        <f t="shared" si="0"/>
        <v>2.418054809242343E-2</v>
      </c>
    </row>
    <row r="18" spans="1:10" x14ac:dyDescent="0.3">
      <c r="A18" t="s">
        <v>21</v>
      </c>
      <c r="C18">
        <v>250</v>
      </c>
      <c r="D18">
        <v>57</v>
      </c>
      <c r="E18">
        <v>8</v>
      </c>
      <c r="F18">
        <f t="shared" si="1"/>
        <v>65</v>
      </c>
      <c r="G18">
        <v>15</v>
      </c>
      <c r="H18">
        <v>0.3</v>
      </c>
      <c r="I18">
        <f t="shared" si="2"/>
        <v>207923.07692307691</v>
      </c>
      <c r="J18">
        <f t="shared" si="0"/>
        <v>0.14035087719298245</v>
      </c>
    </row>
    <row r="19" spans="1:10" x14ac:dyDescent="0.3">
      <c r="A19" t="s">
        <v>23</v>
      </c>
      <c r="C19">
        <v>28278</v>
      </c>
      <c r="D19">
        <v>15210</v>
      </c>
      <c r="E19">
        <v>391</v>
      </c>
      <c r="F19">
        <f>D19+E19</f>
        <v>15601</v>
      </c>
      <c r="G19">
        <v>35000</v>
      </c>
      <c r="H19">
        <v>0.05</v>
      </c>
      <c r="I19">
        <f>G19*1000000*0.00034/(F19/2650)</f>
        <v>2021344.7855906673</v>
      </c>
      <c r="J19">
        <f>E19/D19</f>
        <v>2.5706771860618014E-2</v>
      </c>
    </row>
    <row r="23" spans="1:10" x14ac:dyDescent="0.3">
      <c r="A23" t="s">
        <v>22</v>
      </c>
      <c r="C23">
        <v>41</v>
      </c>
      <c r="D23">
        <v>295</v>
      </c>
      <c r="E23">
        <v>47</v>
      </c>
      <c r="F23">
        <f>D23+E23</f>
        <v>342</v>
      </c>
      <c r="G23">
        <v>15</v>
      </c>
      <c r="H23">
        <v>10</v>
      </c>
      <c r="I23">
        <f>G23*1000000*0.00034/(F23/2650)</f>
        <v>39517.543859649122</v>
      </c>
      <c r="J23">
        <f>E23/D23</f>
        <v>0.15932203389830507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8159C8-5C8A-42DA-B47F-B0D34D0C49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Minsik Kim</dc:creator>
  <cp:lastModifiedBy>Minsik Kim</cp:lastModifiedBy>
  <dcterms:created xsi:type="dcterms:W3CDTF">2024-06-17T04:14:22Z</dcterms:created>
  <dcterms:modified xsi:type="dcterms:W3CDTF">2025-05-28T07:09:08Z</dcterms:modified>
</cp:coreProperties>
</file>